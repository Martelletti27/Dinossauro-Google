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\OneDrive\Documentos\Projetos\Dinossauro-Google\assets\"/>
    </mc:Choice>
  </mc:AlternateContent>
  <xr:revisionPtr revIDLastSave="0" documentId="8_{C5B28EB3-868C-4785-8E6B-1E7F9CDB2B5B}" xr6:coauthVersionLast="47" xr6:coauthVersionMax="47" xr10:uidLastSave="{00000000-0000-0000-0000-000000000000}"/>
  <bookViews>
    <workbookView xWindow="-105" yWindow="0" windowWidth="15600" windowHeight="15585" xr2:uid="{52FB447B-F3C0-4CE2-B37B-590F8222A3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7" i="1" l="1"/>
  <c r="V13" i="1"/>
  <c r="V19" i="1"/>
  <c r="K7" i="1"/>
  <c r="K10" i="1"/>
  <c r="K13" i="1"/>
  <c r="K16" i="1"/>
  <c r="K19" i="1"/>
  <c r="K22" i="1"/>
  <c r="S7" i="1"/>
  <c r="T7" i="1"/>
  <c r="U7" i="1"/>
  <c r="S13" i="1"/>
  <c r="T13" i="1"/>
  <c r="U13" i="1"/>
  <c r="S19" i="1"/>
  <c r="T19" i="1"/>
  <c r="U19" i="1"/>
  <c r="R19" i="1"/>
  <c r="Q19" i="1"/>
  <c r="P19" i="1"/>
  <c r="R13" i="1"/>
  <c r="Q13" i="1"/>
  <c r="P13" i="1"/>
  <c r="R7" i="1"/>
  <c r="Q7" i="1"/>
  <c r="P7" i="1"/>
  <c r="E7" i="1"/>
  <c r="F7" i="1"/>
  <c r="G7" i="1"/>
  <c r="H7" i="1"/>
  <c r="I7" i="1"/>
  <c r="J7" i="1"/>
  <c r="E10" i="1"/>
  <c r="F10" i="1"/>
  <c r="G10" i="1"/>
  <c r="H10" i="1"/>
  <c r="I10" i="1"/>
  <c r="J10" i="1"/>
  <c r="E13" i="1"/>
  <c r="F13" i="1"/>
  <c r="G13" i="1"/>
  <c r="H13" i="1"/>
  <c r="I13" i="1"/>
  <c r="J13" i="1"/>
  <c r="E16" i="1"/>
  <c r="F16" i="1"/>
  <c r="G16" i="1"/>
  <c r="H16" i="1"/>
  <c r="I16" i="1"/>
  <c r="J16" i="1"/>
  <c r="E19" i="1"/>
  <c r="F19" i="1"/>
  <c r="G19" i="1"/>
  <c r="H19" i="1"/>
  <c r="I19" i="1"/>
  <c r="J19" i="1"/>
  <c r="E22" i="1"/>
  <c r="F22" i="1"/>
  <c r="G22" i="1"/>
  <c r="H22" i="1"/>
  <c r="I22" i="1"/>
  <c r="J22" i="1"/>
  <c r="L22" i="1" l="1"/>
  <c r="M22" i="1" s="1"/>
  <c r="N22" i="1" s="1"/>
  <c r="L19" i="1"/>
  <c r="M19" i="1" s="1"/>
  <c r="N19" i="1" s="1"/>
  <c r="L13" i="1"/>
  <c r="M13" i="1" s="1"/>
  <c r="N13" i="1" s="1"/>
  <c r="L16" i="1"/>
  <c r="M16" i="1" s="1"/>
  <c r="N16" i="1" s="1"/>
  <c r="L10" i="1"/>
  <c r="L7" i="1"/>
  <c r="M7" i="1" s="1"/>
  <c r="N7" i="1" s="1"/>
  <c r="M10" i="1"/>
  <c r="N10" i="1" s="1"/>
  <c r="W19" i="1" l="1"/>
  <c r="X19" i="1" s="1"/>
  <c r="Y19" i="1" s="1"/>
  <c r="W13" i="1"/>
  <c r="X13" i="1" s="1"/>
  <c r="Y13" i="1" s="1"/>
  <c r="W7" i="1"/>
  <c r="X7" i="1" s="1"/>
  <c r="Y7" i="1" s="1"/>
</calcChain>
</file>

<file path=xl/sharedStrings.xml><?xml version="1.0" encoding="utf-8"?>
<sst xmlns="http://schemas.openxmlformats.org/spreadsheetml/2006/main" count="115" uniqueCount="49">
  <si>
    <t>E1</t>
  </si>
  <si>
    <t>E2</t>
  </si>
  <si>
    <t>E3</t>
  </si>
  <si>
    <t>E4</t>
  </si>
  <si>
    <t>E5</t>
  </si>
  <si>
    <t>E6</t>
  </si>
  <si>
    <t>ENTRADA</t>
  </si>
  <si>
    <t>P1</t>
  </si>
  <si>
    <t>P2</t>
  </si>
  <si>
    <t>P3</t>
  </si>
  <si>
    <t>P4</t>
  </si>
  <si>
    <t>P5</t>
  </si>
  <si>
    <t>P6</t>
  </si>
  <si>
    <t>RELU</t>
  </si>
  <si>
    <t>OCULTA 1</t>
  </si>
  <si>
    <t>RESULTADO</t>
  </si>
  <si>
    <t>O1</t>
  </si>
  <si>
    <t>ReLu1</t>
  </si>
  <si>
    <t>O2</t>
  </si>
  <si>
    <t>ReLu2</t>
  </si>
  <si>
    <t>ReLu3</t>
  </si>
  <si>
    <t>ReLu4</t>
  </si>
  <si>
    <t>ReLu5</t>
  </si>
  <si>
    <t>E7 -BIAS</t>
  </si>
  <si>
    <t>ReLu6</t>
  </si>
  <si>
    <t>O3</t>
  </si>
  <si>
    <t>O4</t>
  </si>
  <si>
    <t>O5</t>
  </si>
  <si>
    <t>O6</t>
  </si>
  <si>
    <t>O7 - BIAS</t>
  </si>
  <si>
    <t>PESOS</t>
  </si>
  <si>
    <t>P7</t>
  </si>
  <si>
    <t>SAIDA</t>
  </si>
  <si>
    <t>S1</t>
  </si>
  <si>
    <t>S2</t>
  </si>
  <si>
    <t>distancia do obstaculo</t>
  </si>
  <si>
    <t>largura do obstaculo</t>
  </si>
  <si>
    <t>altura do chao obstaculo</t>
  </si>
  <si>
    <t>altura obstaculo</t>
  </si>
  <si>
    <t>Velocidade do jogo</t>
  </si>
  <si>
    <t>Altura do dino</t>
  </si>
  <si>
    <t>BIAS</t>
  </si>
  <si>
    <t>S0</t>
  </si>
  <si>
    <t>Pular</t>
  </si>
  <si>
    <t>Abaixar</t>
  </si>
  <si>
    <t>Aviao</t>
  </si>
  <si>
    <t>ReLu7</t>
  </si>
  <si>
    <t>ReLu8</t>
  </si>
  <si>
    <t>ReLu9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</si>
</sst>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7C362-9180-4737-9C7D-3F9002425E6C}">
  <dimension ref="B4:Z25"/>
  <sheetViews>
    <sheetView showGridLines="0" tabSelected="1" workbookViewId="0">
      <selection activeCell="E4" sqref="E4:L4"/>
    </sheetView>
  </sheetViews>
  <sheetFormatPr defaultRowHeight="15" x14ac:dyDescent="0.25"/>
  <cols>
    <col min="2" max="2" width="9.140625" style="8"/>
    <col min="3" max="11" width="9.140625" style="1"/>
    <col min="12" max="12" width="11.85546875" style="1" bestFit="1" customWidth="1"/>
    <col min="13" max="13" width="9.140625" style="1"/>
    <col min="23" max="23" width="11.85546875" bestFit="1" customWidth="1"/>
    <col min="26" max="26" width="9.140625" style="9"/>
  </cols>
  <sheetData>
    <row r="4" spans="2:26" x14ac:dyDescent="0.25">
      <c r="C4" s="2" t="s">
        <v>6</v>
      </c>
      <c r="E4" s="6" t="s">
        <v>30</v>
      </c>
      <c r="F4" s="6"/>
      <c r="G4" s="6"/>
      <c r="H4" s="6"/>
      <c r="I4" s="6"/>
      <c r="J4" s="6"/>
      <c r="K4" s="6"/>
      <c r="L4" s="7"/>
      <c r="M4" s="5" t="s">
        <v>13</v>
      </c>
      <c r="N4" s="2" t="s">
        <v>14</v>
      </c>
      <c r="P4" s="6" t="s">
        <v>30</v>
      </c>
      <c r="Q4" s="6"/>
      <c r="R4" s="6"/>
      <c r="S4" s="6"/>
      <c r="T4" s="6"/>
      <c r="U4" s="6"/>
      <c r="V4" s="6"/>
      <c r="W4" s="7"/>
      <c r="X4" s="5" t="s">
        <v>13</v>
      </c>
      <c r="Y4" s="2" t="s">
        <v>32</v>
      </c>
    </row>
    <row r="5" spans="2:26" x14ac:dyDescent="0.25">
      <c r="X5" s="1"/>
    </row>
    <row r="6" spans="2:26" x14ac:dyDescent="0.25">
      <c r="B6" s="8" t="s">
        <v>35</v>
      </c>
      <c r="C6" s="2" t="s">
        <v>0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31</v>
      </c>
      <c r="L6" s="4" t="s">
        <v>15</v>
      </c>
      <c r="M6" s="5" t="s">
        <v>17</v>
      </c>
      <c r="N6" s="2" t="s">
        <v>16</v>
      </c>
      <c r="P6" s="4" t="s">
        <v>7</v>
      </c>
      <c r="Q6" s="4" t="s">
        <v>8</v>
      </c>
      <c r="R6" s="4" t="s">
        <v>9</v>
      </c>
      <c r="S6" s="4" t="s">
        <v>10</v>
      </c>
      <c r="T6" s="4" t="s">
        <v>11</v>
      </c>
      <c r="U6" s="4" t="s">
        <v>12</v>
      </c>
      <c r="V6" s="4" t="s">
        <v>31</v>
      </c>
      <c r="W6" s="4" t="s">
        <v>15</v>
      </c>
      <c r="X6" s="5" t="s">
        <v>46</v>
      </c>
      <c r="Y6" s="2" t="s">
        <v>42</v>
      </c>
    </row>
    <row r="7" spans="2:26" x14ac:dyDescent="0.25">
      <c r="C7" s="3">
        <v>2</v>
      </c>
      <c r="E7" s="3">
        <f t="shared" ref="E7:K7" ca="1" si="0">RANDBETWEEN(-1000,999)</f>
        <v>-93</v>
      </c>
      <c r="F7" s="3">
        <f t="shared" ca="1" si="0"/>
        <v>465</v>
      </c>
      <c r="G7" s="3">
        <f t="shared" ca="1" si="0"/>
        <v>238</v>
      </c>
      <c r="H7" s="3">
        <f t="shared" ca="1" si="0"/>
        <v>305</v>
      </c>
      <c r="I7" s="3">
        <f t="shared" ca="1" si="0"/>
        <v>-151</v>
      </c>
      <c r="J7" s="3">
        <f t="shared" ca="1" si="0"/>
        <v>-154</v>
      </c>
      <c r="K7" s="3">
        <f t="shared" ca="1" si="0"/>
        <v>-51</v>
      </c>
      <c r="L7" s="3">
        <f ca="1">($C$7*E7)+($C$10*F7)+($C$13*G7)+($C$16*H7)+($C$19*I7)+($C$22*J7)+($C$25*K7)</f>
        <v>1847</v>
      </c>
      <c r="M7" s="3">
        <f ca="1">IF(L7&gt;0,L7,0)</f>
        <v>1847</v>
      </c>
      <c r="N7" s="3">
        <f ca="1">M7</f>
        <v>1847</v>
      </c>
      <c r="P7" s="3">
        <f t="shared" ref="P7:V7" ca="1" si="1">RANDBETWEEN(-1000,999)</f>
        <v>-299</v>
      </c>
      <c r="Q7" s="3">
        <f t="shared" ca="1" si="1"/>
        <v>-230</v>
      </c>
      <c r="R7" s="3">
        <f t="shared" ca="1" si="1"/>
        <v>299</v>
      </c>
      <c r="S7" s="3">
        <f t="shared" ca="1" si="1"/>
        <v>-885</v>
      </c>
      <c r="T7" s="3">
        <f t="shared" ca="1" si="1"/>
        <v>348</v>
      </c>
      <c r="U7" s="3">
        <f t="shared" ca="1" si="1"/>
        <v>347</v>
      </c>
      <c r="V7" s="3">
        <f t="shared" ca="1" si="1"/>
        <v>-142</v>
      </c>
      <c r="W7" s="3">
        <f ca="1">($N$7*P7)+($N$10*Q7)+($N$13*R7)+($N$16*S7)+($N$19*T7)+($N$22*U7)+($N$25*V7)</f>
        <v>-4170751</v>
      </c>
      <c r="X7" s="3">
        <f ca="1">IF(W7&gt;0,W7,0)</f>
        <v>0</v>
      </c>
      <c r="Y7" s="3">
        <f ca="1">X7</f>
        <v>0</v>
      </c>
      <c r="Z7" s="9" t="s">
        <v>43</v>
      </c>
    </row>
    <row r="9" spans="2:26" x14ac:dyDescent="0.25">
      <c r="B9" s="8" t="s">
        <v>36</v>
      </c>
      <c r="C9" s="2" t="s">
        <v>1</v>
      </c>
      <c r="E9" s="4" t="s">
        <v>7</v>
      </c>
      <c r="F9" s="4" t="s">
        <v>8</v>
      </c>
      <c r="G9" s="4" t="s">
        <v>9</v>
      </c>
      <c r="H9" s="4" t="s">
        <v>10</v>
      </c>
      <c r="I9" s="4" t="s">
        <v>11</v>
      </c>
      <c r="J9" s="4" t="s">
        <v>12</v>
      </c>
      <c r="K9" s="4" t="s">
        <v>31</v>
      </c>
      <c r="L9" s="4" t="s">
        <v>15</v>
      </c>
      <c r="M9" s="5" t="s">
        <v>19</v>
      </c>
      <c r="N9" s="2" t="s">
        <v>18</v>
      </c>
    </row>
    <row r="10" spans="2:26" x14ac:dyDescent="0.25">
      <c r="C10" s="3">
        <v>3</v>
      </c>
      <c r="E10" s="3">
        <f t="shared" ref="E10:K10" ca="1" si="2">RANDBETWEEN(-1000,999)</f>
        <v>-354</v>
      </c>
      <c r="F10" s="3">
        <f t="shared" ca="1" si="2"/>
        <v>571</v>
      </c>
      <c r="G10" s="3">
        <f t="shared" ca="1" si="2"/>
        <v>-595</v>
      </c>
      <c r="H10" s="3">
        <f t="shared" ca="1" si="2"/>
        <v>681</v>
      </c>
      <c r="I10" s="3">
        <f t="shared" ca="1" si="2"/>
        <v>913</v>
      </c>
      <c r="J10" s="3">
        <f t="shared" ca="1" si="2"/>
        <v>325</v>
      </c>
      <c r="K10" s="3">
        <f t="shared" ca="1" si="2"/>
        <v>-631</v>
      </c>
      <c r="L10" s="3">
        <f ca="1">($C$7*E10)+($C$10*F10)+($C$13*G10)+($C$16*H10)+($C$19*I10)+($C$22*J10)+($C$25*K10)</f>
        <v>34330</v>
      </c>
      <c r="M10" s="3">
        <f ca="1">IF(L10&gt;0,L10,0)</f>
        <v>34330</v>
      </c>
      <c r="N10" s="3">
        <f ca="1">M10</f>
        <v>34330</v>
      </c>
    </row>
    <row r="12" spans="2:26" x14ac:dyDescent="0.25">
      <c r="B12" s="8" t="s">
        <v>37</v>
      </c>
      <c r="C12" s="2" t="s">
        <v>2</v>
      </c>
      <c r="E12" s="4" t="s">
        <v>7</v>
      </c>
      <c r="F12" s="4" t="s">
        <v>8</v>
      </c>
      <c r="G12" s="4" t="s">
        <v>9</v>
      </c>
      <c r="H12" s="4" t="s">
        <v>10</v>
      </c>
      <c r="I12" s="4" t="s">
        <v>11</v>
      </c>
      <c r="J12" s="4" t="s">
        <v>12</v>
      </c>
      <c r="K12" s="4" t="s">
        <v>31</v>
      </c>
      <c r="L12" s="4" t="s">
        <v>15</v>
      </c>
      <c r="M12" s="5" t="s">
        <v>20</v>
      </c>
      <c r="N12" s="2" t="s">
        <v>25</v>
      </c>
      <c r="P12" s="4" t="s">
        <v>7</v>
      </c>
      <c r="Q12" s="4" t="s">
        <v>8</v>
      </c>
      <c r="R12" s="4" t="s">
        <v>9</v>
      </c>
      <c r="S12" s="4" t="s">
        <v>10</v>
      </c>
      <c r="T12" s="4" t="s">
        <v>11</v>
      </c>
      <c r="U12" s="4" t="s">
        <v>12</v>
      </c>
      <c r="V12" s="4" t="s">
        <v>31</v>
      </c>
      <c r="W12" s="4" t="s">
        <v>15</v>
      </c>
      <c r="X12" s="5" t="s">
        <v>47</v>
      </c>
      <c r="Y12" s="2" t="s">
        <v>33</v>
      </c>
    </row>
    <row r="13" spans="2:26" x14ac:dyDescent="0.25">
      <c r="C13" s="3">
        <v>4</v>
      </c>
      <c r="E13" s="3">
        <f t="shared" ref="E13:K13" ca="1" si="3">RANDBETWEEN(-1000,999)</f>
        <v>-645</v>
      </c>
      <c r="F13" s="3">
        <f t="shared" ca="1" si="3"/>
        <v>-148</v>
      </c>
      <c r="G13" s="3">
        <f t="shared" ca="1" si="3"/>
        <v>778</v>
      </c>
      <c r="H13" s="3">
        <f t="shared" ca="1" si="3"/>
        <v>275</v>
      </c>
      <c r="I13" s="3">
        <f t="shared" ca="1" si="3"/>
        <v>125</v>
      </c>
      <c r="J13" s="3">
        <f t="shared" ca="1" si="3"/>
        <v>763</v>
      </c>
      <c r="K13" s="3">
        <f t="shared" ca="1" si="3"/>
        <v>-912</v>
      </c>
      <c r="L13" s="3">
        <f ca="1">($C$7*E13)+($C$10*F13)+($C$13*G13)+($C$16*H13)+($C$19*I13)+($C$22*J13)+($C$25*K13)</f>
        <v>8704</v>
      </c>
      <c r="M13" s="3">
        <f ca="1">IF(L13&gt;0,L13,0)</f>
        <v>8704</v>
      </c>
      <c r="N13" s="3">
        <f ca="1">M13</f>
        <v>8704</v>
      </c>
      <c r="P13" s="3">
        <f t="shared" ref="P13:V13" ca="1" si="4">RANDBETWEEN(-1000,999)</f>
        <v>-369</v>
      </c>
      <c r="Q13" s="3">
        <f t="shared" ca="1" si="4"/>
        <v>-855</v>
      </c>
      <c r="R13" s="3">
        <f t="shared" ca="1" si="4"/>
        <v>496</v>
      </c>
      <c r="S13" s="3">
        <f t="shared" ca="1" si="4"/>
        <v>27</v>
      </c>
      <c r="T13" s="3">
        <f t="shared" ca="1" si="4"/>
        <v>-956</v>
      </c>
      <c r="U13" s="3">
        <f t="shared" ca="1" si="4"/>
        <v>-85</v>
      </c>
      <c r="V13" s="3">
        <f t="shared" ca="1" si="4"/>
        <v>-229</v>
      </c>
      <c r="W13" s="3">
        <f ca="1">($N$7*P13)+($N$10*Q13)+($N$13*R13)+($N$16*S13)+($N$19*T13)+($N$22*U13)+($N$25*V13)</f>
        <v>-26707610</v>
      </c>
      <c r="X13" s="3">
        <f ca="1">IF(W13&gt;0,W13,0)</f>
        <v>0</v>
      </c>
      <c r="Y13" s="3">
        <f ca="1">X13</f>
        <v>0</v>
      </c>
      <c r="Z13" s="9" t="s">
        <v>44</v>
      </c>
    </row>
    <row r="15" spans="2:26" x14ac:dyDescent="0.25">
      <c r="B15" s="8" t="s">
        <v>38</v>
      </c>
      <c r="C15" s="2" t="s">
        <v>3</v>
      </c>
      <c r="E15" s="4" t="s">
        <v>7</v>
      </c>
      <c r="F15" s="4" t="s">
        <v>8</v>
      </c>
      <c r="G15" s="4" t="s">
        <v>9</v>
      </c>
      <c r="H15" s="4" t="s">
        <v>10</v>
      </c>
      <c r="I15" s="4" t="s">
        <v>11</v>
      </c>
      <c r="J15" s="4" t="s">
        <v>12</v>
      </c>
      <c r="K15" s="4" t="s">
        <v>31</v>
      </c>
      <c r="L15" s="4" t="s">
        <v>15</v>
      </c>
      <c r="M15" s="5" t="s">
        <v>21</v>
      </c>
      <c r="N15" s="2" t="s">
        <v>26</v>
      </c>
    </row>
    <row r="16" spans="2:26" x14ac:dyDescent="0.25">
      <c r="C16" s="3">
        <v>14</v>
      </c>
      <c r="E16" s="3">
        <f t="shared" ref="E16:K16" ca="1" si="5">RANDBETWEEN(-1000,999)</f>
        <v>663</v>
      </c>
      <c r="F16" s="3">
        <f t="shared" ca="1" si="5"/>
        <v>133</v>
      </c>
      <c r="G16" s="3">
        <f t="shared" ca="1" si="5"/>
        <v>-657</v>
      </c>
      <c r="H16" s="3">
        <f t="shared" ca="1" si="5"/>
        <v>365</v>
      </c>
      <c r="I16" s="3">
        <f t="shared" ca="1" si="5"/>
        <v>-88</v>
      </c>
      <c r="J16" s="3">
        <f t="shared" ca="1" si="5"/>
        <v>661</v>
      </c>
      <c r="K16" s="3">
        <f t="shared" ca="1" si="5"/>
        <v>743</v>
      </c>
      <c r="L16" s="3">
        <f ca="1">($C$7*E16)+($C$10*F16)+($C$13*G16)+($C$16*H16)+($C$19*I16)+($C$22*J16)+($C$25*K16)</f>
        <v>3059</v>
      </c>
      <c r="M16" s="3">
        <f ca="1">IF(L16&gt;0,L16,0)</f>
        <v>3059</v>
      </c>
      <c r="N16" s="3">
        <f ca="1">M16</f>
        <v>3059</v>
      </c>
    </row>
    <row r="18" spans="2:26" x14ac:dyDescent="0.25">
      <c r="B18" s="8" t="s">
        <v>39</v>
      </c>
      <c r="C18" s="2" t="s">
        <v>4</v>
      </c>
      <c r="E18" s="4" t="s">
        <v>7</v>
      </c>
      <c r="F18" s="4" t="s">
        <v>8</v>
      </c>
      <c r="G18" s="4" t="s">
        <v>9</v>
      </c>
      <c r="H18" s="4" t="s">
        <v>10</v>
      </c>
      <c r="I18" s="4" t="s">
        <v>11</v>
      </c>
      <c r="J18" s="4" t="s">
        <v>12</v>
      </c>
      <c r="K18" s="4" t="s">
        <v>31</v>
      </c>
      <c r="L18" s="4" t="s">
        <v>15</v>
      </c>
      <c r="M18" s="5" t="s">
        <v>22</v>
      </c>
      <c r="N18" s="2" t="s">
        <v>27</v>
      </c>
      <c r="P18" s="4" t="s">
        <v>7</v>
      </c>
      <c r="Q18" s="4" t="s">
        <v>8</v>
      </c>
      <c r="R18" s="4" t="s">
        <v>9</v>
      </c>
      <c r="S18" s="4" t="s">
        <v>10</v>
      </c>
      <c r="T18" s="4" t="s">
        <v>11</v>
      </c>
      <c r="U18" s="4" t="s">
        <v>12</v>
      </c>
      <c r="V18" s="4" t="s">
        <v>31</v>
      </c>
      <c r="W18" s="4" t="s">
        <v>15</v>
      </c>
      <c r="X18" s="5" t="s">
        <v>48</v>
      </c>
      <c r="Y18" s="2" t="s">
        <v>34</v>
      </c>
    </row>
    <row r="19" spans="2:26" x14ac:dyDescent="0.25">
      <c r="C19" s="3">
        <v>29</v>
      </c>
      <c r="E19" s="3">
        <f t="shared" ref="E19:K19" ca="1" si="6">RANDBETWEEN(-1000,999)</f>
        <v>380</v>
      </c>
      <c r="F19" s="3">
        <f t="shared" ca="1" si="6"/>
        <v>-446</v>
      </c>
      <c r="G19" s="3">
        <f t="shared" ca="1" si="6"/>
        <v>-415</v>
      </c>
      <c r="H19" s="3">
        <f t="shared" ca="1" si="6"/>
        <v>-134</v>
      </c>
      <c r="I19" s="3">
        <f t="shared" ca="1" si="6"/>
        <v>-108</v>
      </c>
      <c r="J19" s="3">
        <f t="shared" ca="1" si="6"/>
        <v>834</v>
      </c>
      <c r="K19" s="3">
        <f t="shared" ca="1" si="6"/>
        <v>945</v>
      </c>
      <c r="L19" s="3">
        <f ca="1">($C$7*E19)+($C$10*F19)+($C$13*G19)+($C$16*H19)+($C$19*I19)+($C$22*J19)+($C$25*K19)</f>
        <v>-5467</v>
      </c>
      <c r="M19" s="3">
        <f ca="1">IF(L19&gt;0,L19,0)</f>
        <v>0</v>
      </c>
      <c r="N19" s="3">
        <f ca="1">M19</f>
        <v>0</v>
      </c>
      <c r="P19" s="3">
        <f t="shared" ref="P19:V19" ca="1" si="7">RANDBETWEEN(-1000,999)</f>
        <v>933</v>
      </c>
      <c r="Q19" s="3">
        <f t="shared" ca="1" si="7"/>
        <v>-294</v>
      </c>
      <c r="R19" s="3">
        <f t="shared" ca="1" si="7"/>
        <v>-771</v>
      </c>
      <c r="S19" s="3">
        <f t="shared" ca="1" si="7"/>
        <v>454</v>
      </c>
      <c r="T19" s="3">
        <f t="shared" ca="1" si="7"/>
        <v>350</v>
      </c>
      <c r="U19" s="3">
        <f t="shared" ca="1" si="7"/>
        <v>118</v>
      </c>
      <c r="V19" s="3">
        <f t="shared" ca="1" si="7"/>
        <v>27</v>
      </c>
      <c r="W19" s="3">
        <f ca="1">($N$7*P19)+($N$10*Q19)+($N$13*R19)+($N$16*S19)+($N$19*T19)+($N$22*U19)+($N$25*V19)</f>
        <v>-12201518</v>
      </c>
      <c r="X19" s="3">
        <f ca="1">IF(W19&gt;0,W19,0)</f>
        <v>0</v>
      </c>
      <c r="Y19" s="3">
        <f ca="1">X19</f>
        <v>0</v>
      </c>
      <c r="Z19" s="9" t="s">
        <v>45</v>
      </c>
    </row>
    <row r="21" spans="2:26" x14ac:dyDescent="0.25">
      <c r="B21" s="8" t="s">
        <v>40</v>
      </c>
      <c r="C21" s="2" t="s">
        <v>5</v>
      </c>
      <c r="E21" s="4" t="s">
        <v>7</v>
      </c>
      <c r="F21" s="4" t="s">
        <v>8</v>
      </c>
      <c r="G21" s="4" t="s">
        <v>9</v>
      </c>
      <c r="H21" s="4" t="s">
        <v>10</v>
      </c>
      <c r="I21" s="4" t="s">
        <v>11</v>
      </c>
      <c r="J21" s="4" t="s">
        <v>12</v>
      </c>
      <c r="K21" s="4" t="s">
        <v>31</v>
      </c>
      <c r="L21" s="4" t="s">
        <v>15</v>
      </c>
      <c r="M21" s="5" t="s">
        <v>24</v>
      </c>
      <c r="N21" s="2" t="s">
        <v>28</v>
      </c>
    </row>
    <row r="22" spans="2:26" x14ac:dyDescent="0.25">
      <c r="C22" s="3">
        <v>1</v>
      </c>
      <c r="E22" s="3">
        <f t="shared" ref="E22:K22" ca="1" si="8">RANDBETWEEN(-1000,999)</f>
        <v>-807</v>
      </c>
      <c r="F22" s="3">
        <f t="shared" ca="1" si="8"/>
        <v>220</v>
      </c>
      <c r="G22" s="3">
        <f t="shared" ca="1" si="8"/>
        <v>173</v>
      </c>
      <c r="H22" s="3">
        <f t="shared" ca="1" si="8"/>
        <v>-858</v>
      </c>
      <c r="I22" s="3">
        <f t="shared" ca="1" si="8"/>
        <v>880</v>
      </c>
      <c r="J22" s="3">
        <f t="shared" ca="1" si="8"/>
        <v>-401</v>
      </c>
      <c r="K22" s="3">
        <f t="shared" ca="1" si="8"/>
        <v>-216</v>
      </c>
      <c r="L22" s="3">
        <f ca="1">($C$7*E22)+($C$10*F22)+($C$13*G22)+($C$16*H22)+($C$19*I22)+($C$22*J22)+($C$25*K22)</f>
        <v>12629</v>
      </c>
      <c r="M22" s="3">
        <f ca="1">IF(L22&gt;0,L22,0)</f>
        <v>12629</v>
      </c>
      <c r="N22" s="3">
        <f ca="1">M22</f>
        <v>12629</v>
      </c>
    </row>
    <row r="24" spans="2:26" x14ac:dyDescent="0.25">
      <c r="B24" s="8" t="s">
        <v>41</v>
      </c>
      <c r="C24" s="2" t="s">
        <v>23</v>
      </c>
      <c r="N24" s="2" t="s">
        <v>29</v>
      </c>
    </row>
    <row r="25" spans="2:26" x14ac:dyDescent="0.25">
      <c r="C25" s="3">
        <v>1</v>
      </c>
      <c r="N25" s="3">
        <v>1</v>
      </c>
    </row>
  </sheetData>
  <mergeCells count="2">
    <mergeCell ref="E4:L4"/>
    <mergeCell ref="P4:W4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ribeiro</dc:creator>
  <cp:lastModifiedBy>matheus ribeiro</cp:lastModifiedBy>
  <dcterms:created xsi:type="dcterms:W3CDTF">2026-08-02T12:48:51Z</dcterms:created>
  <dcterms:modified xsi:type="dcterms:W3CDTF">2026-08-02T13:31:38Z</dcterms:modified>
</cp:coreProperties>
</file>